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C0A]d\-mmm\-yy;@"/>
  </numFmts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8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4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5.57" customWidth="1" min="1" max="1"/>
    <col width="4.43" customWidth="1" min="2" max="2"/>
    <col width="11.71" customWidth="1" min="3" max="3"/>
    <col width="15.43" customWidth="1" min="4" max="4"/>
    <col width="5" customWidth="1" min="5" max="5"/>
    <col width="35.29" customWidth="1" min="6" max="6"/>
    <col width="24.57" customWidth="1" min="7" max="7"/>
    <col width="12.86" customWidth="1" min="10" max="10"/>
    <col width="24.14" customWidth="1" min="11" max="11"/>
    <col width="9.140000000000001" customWidth="1" min="12" max="12"/>
    <col width="11.57" customWidth="1" min="13" max="13"/>
    <col width="9.140000000000001" customWidth="1" min="14" max="14"/>
    <col width="10.57" customWidth="1" min="15" max="15"/>
    <col width="8.289999999999999" customWidth="1" min="16" max="16"/>
    <col width="8.710000000000001" customWidth="1" min="17" max="17"/>
    <col width="9.140000000000001" customWidth="1" min="18" max="18"/>
    <col width="8" customWidth="1" min="19" max="19"/>
    <col width="11.14" customWidth="1" min="20" max="20"/>
    <col width="6.14" customWidth="1" min="21" max="21"/>
    <col width="9.140000000000001" customWidth="1" min="22" max="22"/>
    <col width="8" customWidth="1" min="23" max="23"/>
    <col width="11.14" customWidth="1" min="24" max="24"/>
    <col width="9.710000000000001" customWidth="1" min="25" max="25"/>
    <col width="9.140000000000001" customWidth="1" min="26" max="26"/>
    <col width="8" customWidth="1" min="27" max="27"/>
    <col width="14.86" customWidth="1" min="28" max="28"/>
    <col width="6.14" customWidth="1" min="29" max="29"/>
    <col width="9.140000000000001" customWidth="1" min="30" max="30"/>
    <col width="8.859999999999999" customWidth="1" min="31" max="31"/>
    <col width="11.14" customWidth="1" min="32" max="32"/>
    <col width="6.57" customWidth="1" min="33" max="33"/>
    <col width="10.57" customWidth="1" min="34" max="34"/>
    <col width="11.14" customWidth="1" min="35" max="35"/>
  </cols>
  <sheetData>
    <row r="1">
      <c r="AH1" t="inlineStr">
        <is>
          <t>CONTADO</t>
        </is>
      </c>
      <c r="AI1" t="n">
        <v>11050501</v>
      </c>
    </row>
    <row r="2">
      <c r="AH2" t="inlineStr">
        <is>
          <t>CREDITO</t>
        </is>
      </c>
      <c r="AI2" t="n">
        <v>22050501</v>
      </c>
    </row>
    <row r="3">
      <c r="A3" s="1" t="inlineStr">
        <is>
          <t>DOC</t>
        </is>
      </c>
      <c r="B3" s="2" t="inlineStr">
        <is>
          <t>No.</t>
        </is>
      </c>
      <c r="C3" s="2" t="inlineStr">
        <is>
          <t>FECHA</t>
        </is>
      </c>
      <c r="D3" s="2" t="inlineStr">
        <is>
          <t>NIT</t>
        </is>
      </c>
      <c r="E3" s="1" t="inlineStr">
        <is>
          <t>DV</t>
        </is>
      </c>
      <c r="F3" s="1" t="inlineStr">
        <is>
          <t>CLIENTE</t>
        </is>
      </c>
      <c r="G3" s="1" t="inlineStr">
        <is>
          <t>DIRECCION</t>
        </is>
      </c>
      <c r="H3" s="1" t="inlineStr">
        <is>
          <t>CIUDAD</t>
        </is>
      </c>
      <c r="I3" s="1" t="inlineStr">
        <is>
          <t>TELEFONO</t>
        </is>
      </c>
      <c r="J3" s="1" t="inlineStr">
        <is>
          <t>CENTRO DE COSTO</t>
        </is>
      </c>
      <c r="K3" s="2" t="inlineStr">
        <is>
          <t>CONCEPTO</t>
        </is>
      </c>
      <c r="L3" s="1" t="inlineStr">
        <is>
          <t>CODIGO</t>
        </is>
      </c>
      <c r="M3" s="2" t="inlineStr">
        <is>
          <t>VALOR</t>
        </is>
      </c>
      <c r="N3" s="1" t="inlineStr">
        <is>
          <t>CODIGO</t>
        </is>
      </c>
      <c r="O3" s="1" t="inlineStr">
        <is>
          <t>BASE IVA</t>
        </is>
      </c>
      <c r="P3" s="2" t="inlineStr">
        <is>
          <t>% IVA</t>
        </is>
      </c>
      <c r="Q3" s="1" t="inlineStr">
        <is>
          <t>IVA</t>
        </is>
      </c>
      <c r="R3" s="1" t="inlineStr">
        <is>
          <t>CODIGO</t>
        </is>
      </c>
      <c r="S3" s="2" t="inlineStr">
        <is>
          <t>% RTE IVA</t>
        </is>
      </c>
      <c r="T3" s="1" t="inlineStr">
        <is>
          <t>BASE RTE IVA</t>
        </is>
      </c>
      <c r="U3" s="1" t="inlineStr">
        <is>
          <t>RTE IVA</t>
        </is>
      </c>
      <c r="V3" s="1" t="inlineStr">
        <is>
          <t>CODIGO</t>
        </is>
      </c>
      <c r="W3" s="2" t="inlineStr">
        <is>
          <t>% RTE FTE</t>
        </is>
      </c>
      <c r="X3" s="1" t="inlineStr">
        <is>
          <t>BASE RTE FTE</t>
        </is>
      </c>
      <c r="Y3" s="1" t="inlineStr">
        <is>
          <t>RTE FTE</t>
        </is>
      </c>
      <c r="Z3" s="1" t="inlineStr">
        <is>
          <t>CODIGO</t>
        </is>
      </c>
      <c r="AA3" s="2" t="inlineStr">
        <is>
          <t>% RTE ICA</t>
        </is>
      </c>
      <c r="AB3" s="1" t="inlineStr">
        <is>
          <t>BASE RTE ICA</t>
        </is>
      </c>
      <c r="AC3" s="1" t="inlineStr">
        <is>
          <t>RTE ICA</t>
        </is>
      </c>
      <c r="AD3" s="1" t="inlineStr">
        <is>
          <t>CODIGO</t>
        </is>
      </c>
      <c r="AE3" s="1" t="inlineStr">
        <is>
          <t>%CRRE</t>
        </is>
      </c>
      <c r="AF3" s="1" t="inlineStr">
        <is>
          <t>BASE RTE CREE</t>
        </is>
      </c>
      <c r="AG3" s="1" t="inlineStr">
        <is>
          <t>RTE CREE</t>
        </is>
      </c>
      <c r="AH3" s="2" t="inlineStr">
        <is>
          <t>CODIGO</t>
        </is>
      </c>
      <c r="AI3" s="1" t="inlineStr">
        <is>
          <t>VR NETO</t>
        </is>
      </c>
    </row>
    <row r="4">
      <c r="A4" t="inlineStr">
        <is>
          <t>FC</t>
        </is>
      </c>
      <c r="C4" s="3" t="n"/>
      <c r="D4" s="4" t="n"/>
      <c r="E4" s="5">
        <f>IFERROR(VLOOKUP(D4,TERCEROS!$B$2:$G$6727,2,0),"N/A")</f>
        <v/>
      </c>
      <c r="M4" s="5" t="n"/>
      <c r="N4">
        <f>IF(O4&gt;0,240810," ")</f>
        <v/>
      </c>
      <c r="O4" s="5">
        <f>IF(P4&gt;0,M4,0)</f>
        <v/>
      </c>
      <c r="P4" s="6" t="n"/>
      <c r="Q4" s="5">
        <f>ROUND(O4*P4,0)</f>
        <v/>
      </c>
      <c r="R4">
        <f>IF(S4&gt;0,236705," ")</f>
        <v/>
      </c>
      <c r="S4" s="6" t="n"/>
      <c r="T4" s="5">
        <f>IF(S4&gt;0,Q4,0)</f>
        <v/>
      </c>
      <c r="U4" s="5">
        <f>IF(P4=2.4%,Q4,ROUND(T4*S4,0))</f>
        <v/>
      </c>
      <c r="V4">
        <f>IF(W4&gt;0,236540," ")</f>
        <v/>
      </c>
      <c r="W4" s="6" t="n"/>
      <c r="X4" s="5">
        <f>IF(W4&gt;0,M4,0)</f>
        <v/>
      </c>
      <c r="Y4" s="5">
        <f>ROUND(X4*W4,0)</f>
        <v/>
      </c>
      <c r="Z4">
        <f>IF(AA4&gt;0,236805," ")</f>
        <v/>
      </c>
      <c r="AA4" s="7" t="n"/>
      <c r="AB4" s="7">
        <f>IF(AA4&gt;0,M4,0)</f>
        <v/>
      </c>
      <c r="AC4" s="5">
        <f>ROUND(AB4*AA4/1000,0)</f>
        <v/>
      </c>
      <c r="AD4">
        <f>IF(AE4&gt;0,135519," ")</f>
        <v/>
      </c>
      <c r="AE4" s="6" t="n"/>
      <c r="AF4" s="5">
        <f>IF(AE4&gt;0,M4,0)</f>
        <v/>
      </c>
      <c r="AG4" s="5">
        <f>ROUND(AF4*AE4,0)</f>
        <v/>
      </c>
      <c r="AI4" s="5">
        <f>+M4+Q4-U4-Y4-AC4-AG4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2026-07-23T14:13:16Z</dcterms:created>
  <dcterms:modified xmlns:dcterms="http://purl.org/dc/terms/" xmlns:xsi="http://www.w3.org/2001/XMLSchema-instance" xsi:type="dcterms:W3CDTF">2026-07-23T14:13:16Z</dcterms:modified>
</cp:coreProperties>
</file>